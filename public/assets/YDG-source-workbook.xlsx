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1460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egular" sheetId="2" state="visible" r:id="rId2"/>
    <sheet xmlns:r="http://schemas.openxmlformats.org/officeDocument/2006/relationships" name="Large" sheetId="3" state="visible" r:id="rId3"/>
    <sheet xmlns:r="http://schemas.openxmlformats.org/officeDocument/2006/relationships" name="Coffee" sheetId="4" state="visible" r:id="rId4"/>
    <sheet xmlns:r="http://schemas.openxmlformats.org/officeDocument/2006/relationships" name="Pastry" sheetId="5" state="visible" r:id="rId5"/>
    <sheet xmlns:r="http://schemas.openxmlformats.org/officeDocument/2006/relationships" name="Instructions" sheetId="6" state="visible" r:id="rId6"/>
  </sheets>
  <definedNames>
    <definedName name="_xlnm._FilterDatabase" localSheetId="1" hidden="1">'Regular'!$A$4:$P$15</definedName>
    <definedName name="_xlnm._FilterDatabase" localSheetId="2" hidden="1">'Large'!$A$4:$O$15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&quot; g&quot;"/>
    <numFmt numFmtId="165" formatCode="0.0&quot; g&quot;"/>
  </numFmts>
  <fonts count="30">
    <font>
      <name val="Calibri"/>
      <charset val="134"/>
      <color theme="1"/>
      <sz val="11"/>
      <scheme val="minor"/>
    </font>
    <font>
      <name val="Calibri"/>
      <charset val="134"/>
      <b val="1"/>
      <color rgb="FFFFFFFF"/>
      <sz val="15"/>
      <scheme val="minor"/>
    </font>
    <font>
      <name val="Calibri"/>
      <charset val="134"/>
      <i val="1"/>
      <color rgb="FF666666"/>
      <sz val="11"/>
      <scheme val="minor"/>
    </font>
    <font>
      <name val="Calibri"/>
      <charset val="134"/>
      <b val="1"/>
      <color rgb="FFFFFFFF"/>
      <sz val="11"/>
      <scheme val="minor"/>
    </font>
    <font>
      <name val="Calibri"/>
      <charset val="134"/>
      <b val="1"/>
      <sz val="12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/>
    <font>
      <b val="1"/>
      <color rgb="00FFFFFF"/>
      <sz val="11"/>
    </font>
    <font>
      <sz val="10"/>
    </font>
    <font>
      <b val="1"/>
      <sz val="10"/>
    </font>
    <font>
      <b val="1"/>
      <color rgb="00000000"/>
      <sz val="11"/>
    </font>
    <font>
      <b val="1"/>
      <color rgb="00FFFFFF"/>
      <sz val="10"/>
    </font>
  </fonts>
  <fills count="41">
    <fill>
      <patternFill/>
    </fill>
    <fill>
      <patternFill patternType="gray125"/>
    </fill>
    <fill>
      <patternFill patternType="solid">
        <fgColor rgb="FF20386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203864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E2F0D9"/>
      </patternFill>
    </fill>
  </fills>
  <borders count="13">
    <border>
      <left/>
      <right/>
      <top/>
      <bottom/>
      <diagonal/>
    </border>
    <border>
      <left/>
      <right/>
      <top/>
      <bottom style="hair">
        <color rgb="FFD9E1F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/>
    <border>
      <bottom style="thin">
        <color rgb="00D9E1F2"/>
      </bottom>
    </border>
    <border>
      <bottom style="hair">
        <color rgb="00D9E1F2"/>
      </bottom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6" borderId="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3" applyAlignment="1">
      <alignment vertical="center"/>
    </xf>
    <xf numFmtId="0" fontId="11" fillId="0" borderId="3" applyAlignment="1">
      <alignment vertical="center"/>
    </xf>
    <xf numFmtId="0" fontId="12" fillId="0" borderId="4" applyAlignment="1">
      <alignment vertical="center"/>
    </xf>
    <xf numFmtId="0" fontId="12" fillId="0" borderId="0" applyAlignment="1">
      <alignment vertical="center"/>
    </xf>
    <xf numFmtId="0" fontId="13" fillId="7" borderId="5" applyAlignment="1">
      <alignment vertical="center"/>
    </xf>
    <xf numFmtId="0" fontId="14" fillId="8" borderId="6" applyAlignment="1">
      <alignment vertical="center"/>
    </xf>
    <xf numFmtId="0" fontId="15" fillId="8" borderId="5" applyAlignment="1">
      <alignment vertical="center"/>
    </xf>
    <xf numFmtId="0" fontId="16" fillId="9" borderId="7" applyAlignment="1">
      <alignment vertical="center"/>
    </xf>
    <xf numFmtId="0" fontId="17" fillId="0" borderId="8" applyAlignment="1">
      <alignment vertical="center"/>
    </xf>
    <xf numFmtId="0" fontId="18" fillId="0" borderId="9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3" fillId="34" borderId="0" applyAlignment="1">
      <alignment vertical="center"/>
    </xf>
    <xf numFmtId="0" fontId="23" fillId="35" borderId="0" applyAlignment="1">
      <alignment vertical="center"/>
    </xf>
    <xf numFmtId="0" fontId="22" fillId="36" borderId="0" applyAlignment="1">
      <alignment vertical="center"/>
    </xf>
  </cellStyleXfs>
  <cellXfs count="60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center" wrapText="1"/>
    </xf>
    <xf numFmtId="0" fontId="0" fillId="4" borderId="1" applyAlignment="1" pivotButton="0" quotePrefix="0" xfId="0">
      <alignment vertical="center" wrapText="1"/>
    </xf>
    <xf numFmtId="164" fontId="0" fillId="5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0" fontId="3" fillId="2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165" fontId="0" fillId="4" borderId="1" applyAlignment="1" pivotButton="0" quotePrefix="0" xfId="0">
      <alignment horizontal="center" vertical="center" wrapText="1"/>
    </xf>
    <xf numFmtId="165" fontId="0" fillId="5" borderId="1" applyAlignment="1" pivotButton="0" quotePrefix="0" xfId="0">
      <alignment horizontal="center" vertical="center" wrapText="1"/>
    </xf>
    <xf numFmtId="165" fontId="3" fillId="2" borderId="1" applyAlignment="1" pivotButton="0" quotePrefix="0" xfId="0">
      <alignment horizontal="center" vertical="center"/>
    </xf>
    <xf numFmtId="0" fontId="4" fillId="5" borderId="1" applyAlignment="1" pivotButton="0" quotePrefix="0" xfId="0">
      <alignment vertical="center" wrapText="1"/>
    </xf>
    <xf numFmtId="0" fontId="0" fillId="0" borderId="1" pivotButton="0" quotePrefix="0" xfId="0"/>
    <xf numFmtId="0" fontId="25" fillId="37" borderId="11" applyAlignment="1" pivotButton="0" quotePrefix="0" xfId="0">
      <alignment horizontal="left" vertical="center"/>
    </xf>
    <xf numFmtId="0" fontId="25" fillId="37" borderId="11" applyAlignment="1" pivotButton="0" quotePrefix="0" xfId="0">
      <alignment horizontal="center" vertical="center"/>
    </xf>
    <xf numFmtId="0" fontId="24" fillId="0" borderId="10" pivotButton="0" quotePrefix="0" xfId="0"/>
    <xf numFmtId="0" fontId="26" fillId="38" borderId="11" applyAlignment="1" pivotButton="0" quotePrefix="0" xfId="0">
      <alignment horizontal="left" vertical="center" wrapText="1"/>
    </xf>
    <xf numFmtId="0" fontId="27" fillId="38" borderId="11" applyAlignment="1" pivotButton="0" quotePrefix="0" xfId="0">
      <alignment horizontal="center" vertical="center" wrapText="1"/>
    </xf>
    <xf numFmtId="0" fontId="26" fillId="38" borderId="11" applyAlignment="1" pivotButton="0" quotePrefix="0" xfId="0">
      <alignment horizontal="center" vertical="center" wrapText="1"/>
    </xf>
    <xf numFmtId="0" fontId="26" fillId="39" borderId="11" applyAlignment="1" pivotButton="0" quotePrefix="0" xfId="0">
      <alignment horizontal="left" vertical="center" wrapText="1"/>
    </xf>
    <xf numFmtId="0" fontId="27" fillId="39" borderId="11" applyAlignment="1" pivotButton="0" quotePrefix="0" xfId="0">
      <alignment horizontal="center" vertical="center" wrapText="1"/>
    </xf>
    <xf numFmtId="0" fontId="26" fillId="39" borderId="11" applyAlignment="1" pivotButton="0" quotePrefix="0" xfId="0">
      <alignment horizontal="center" vertical="center" wrapText="1"/>
    </xf>
    <xf numFmtId="0" fontId="28" fillId="40" borderId="1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 vertical="center" wrapText="1"/>
    </xf>
    <xf numFmtId="165" fontId="0" fillId="5" borderId="1" applyAlignment="1" pivotButton="0" quotePrefix="0" xfId="0">
      <alignment horizontal="center" vertical="center" wrapText="1"/>
    </xf>
    <xf numFmtId="165" fontId="3" fillId="2" borderId="1" applyAlignment="1" pivotButton="0" quotePrefix="0" xfId="0">
      <alignment horizontal="center" vertical="center"/>
    </xf>
    <xf numFmtId="164" fontId="0" fillId="5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0" fontId="25" fillId="37" borderId="11" applyAlignment="1" pivotButton="0" quotePrefix="0" xfId="0">
      <alignment horizontal="left" vertical="center" wrapText="1"/>
    </xf>
    <xf numFmtId="0" fontId="28" fillId="40" borderId="11" applyAlignment="1" pivotButton="0" quotePrefix="0" xfId="0">
      <alignment horizontal="center" vertical="center" wrapText="1"/>
    </xf>
    <xf numFmtId="0" fontId="25" fillId="37" borderId="12" applyAlignment="1" pivotButton="0" quotePrefix="0" xfId="0">
      <alignment horizontal="left" vertical="center"/>
    </xf>
    <xf numFmtId="0" fontId="25" fillId="37" borderId="12" applyAlignment="1" pivotButton="0" quotePrefix="0" xfId="0">
      <alignment horizontal="center" vertical="center"/>
    </xf>
    <xf numFmtId="0" fontId="29" fillId="37" borderId="10" applyAlignment="1" pivotButton="0" quotePrefix="0" xfId="0">
      <alignment horizontal="left" vertical="center"/>
    </xf>
    <xf numFmtId="0" fontId="26" fillId="38" borderId="12" applyAlignment="1" pivotButton="0" quotePrefix="0" xfId="0">
      <alignment horizontal="left" vertical="center" wrapText="1"/>
    </xf>
    <xf numFmtId="0" fontId="27" fillId="38" borderId="12" applyAlignment="1" pivotButton="0" quotePrefix="0" xfId="0">
      <alignment horizontal="center" vertical="center" wrapText="1"/>
    </xf>
    <xf numFmtId="0" fontId="26" fillId="38" borderId="12" applyAlignment="1" pivotButton="0" quotePrefix="0" xfId="0">
      <alignment horizontal="center" vertical="center" wrapText="1"/>
    </xf>
    <xf numFmtId="0" fontId="24" fillId="38" borderId="12" applyAlignment="1" pivotButton="0" quotePrefix="0" xfId="0">
      <alignment horizontal="left" vertical="center"/>
    </xf>
    <xf numFmtId="0" fontId="27" fillId="40" borderId="12" applyAlignment="1" pivotButton="0" quotePrefix="0" xfId="0">
      <alignment horizontal="right" vertical="center"/>
    </xf>
    <xf numFmtId="0" fontId="26" fillId="39" borderId="12" applyAlignment="1" pivotButton="0" quotePrefix="0" xfId="0">
      <alignment horizontal="left" vertical="center" wrapText="1"/>
    </xf>
    <xf numFmtId="0" fontId="27" fillId="39" borderId="12" applyAlignment="1" pivotButton="0" quotePrefix="0" xfId="0">
      <alignment horizontal="center" vertical="center" wrapText="1"/>
    </xf>
    <xf numFmtId="0" fontId="26" fillId="39" borderId="12" applyAlignment="1" pivotButton="0" quotePrefix="0" xfId="0">
      <alignment horizontal="center" vertical="center" wrapText="1"/>
    </xf>
    <xf numFmtId="0" fontId="29" fillId="37" borderId="12" applyAlignment="1" pivotButton="0" quotePrefix="0" xfId="0">
      <alignment horizontal="left" vertical="center"/>
    </xf>
    <xf numFmtId="0" fontId="29" fillId="37" borderId="12" applyAlignment="1" pivotButton="0" quotePrefix="0" xfId="0">
      <alignment horizontal="center" vertical="center"/>
    </xf>
    <xf numFmtId="0" fontId="24" fillId="39" borderId="12" applyAlignment="1" pivotButton="0" quotePrefix="0" xfId="0">
      <alignment horizontal="left" vertical="center"/>
    </xf>
    <xf numFmtId="0" fontId="26" fillId="39" borderId="12" applyAlignment="1" pivotButton="0" quotePrefix="0" xfId="0">
      <alignment horizontal="right" vertical="center"/>
    </xf>
    <xf numFmtId="0" fontId="25" fillId="37" borderId="12" applyAlignment="1" pivotButton="0" quotePrefix="0" xfId="0">
      <alignment horizontal="left" vertical="center" wrapText="1"/>
    </xf>
    <xf numFmtId="0" fontId="28" fillId="40" borderId="12" applyAlignment="1" pivotButton="0" quotePrefix="0" xfId="0">
      <alignment horizontal="center" vertical="center" wrapText="1"/>
    </xf>
    <xf numFmtId="0" fontId="24" fillId="38" borderId="12" applyAlignment="1" pivotButton="0" quotePrefix="0" xfId="0">
      <alignment horizontal="left" vertical="center" wrapText="1"/>
    </xf>
    <xf numFmtId="0" fontId="27" fillId="38" borderId="12" applyAlignment="1" pivotButton="0" quotePrefix="0" xfId="0">
      <alignment horizontal="right" vertical="center" wrapText="1"/>
    </xf>
    <xf numFmtId="0" fontId="24" fillId="39" borderId="12" applyAlignment="1" pivotButton="0" quotePrefix="0" xfId="0">
      <alignment horizontal="left" vertical="center" wrapText="1"/>
    </xf>
    <xf numFmtId="0" fontId="27" fillId="39" borderId="12" applyAlignment="1" pivotButton="0" quotePrefix="0" xfId="0">
      <alignment horizontal="righ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en-GB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Grams by category</a:t>
            </a:r>
          </a:p>
        </rich>
      </tx>
      <layout/>
      <overlay val="0"/>
    </title>
    <plotArea>
      <layout/>
      <barChart>
        <barDir val="bar"/>
        <grouping val="clustered"/>
        <varyColors val="0"/>
        <ser>
          <idx val="0"/>
          <order val="0"/>
          <tx>
            <strRef>
              <f>Dashboard!$F$11</f>
              <strCache>
                <ptCount val="1"/>
                <pt idx="0">
                  <v>Grams</v>
                </pt>
              </strCache>
            </strRef>
          </tx>
          <spPr>
            <a:ln xmlns:a="http://schemas.openxmlformats.org/drawingml/2006/main"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spPr>
          <invertIfNegative val="0"/>
          <dLbls>
            <delete val="1"/>
          </dLbls>
          <cat>
            <strRef>
              <f>Dashboard!$E$12:$E$14</f>
              <strCache>
                <ptCount val="3"/>
                <pt idx="0">
                  <v>Regular</v>
                </pt>
                <pt idx="1">
                  <v>Large</v>
                </pt>
                <pt idx="2">
                  <v>Coffee</v>
                </pt>
              </strCache>
            </strRef>
          </cat>
          <val>
            <numRef>
              <f>Dashboard!$F$12:$F$14</f>
              <numCache>
                <formatCode>General</formatCode>
                <ptCount val="3"/>
                <pt idx="0">
                  <v>0</v>
                </pt>
                <pt idx="1">
                  <v>0</v>
                </pt>
                <pt idx="2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en-GB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Grams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en-GB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en-GB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Category</a:t>
                </a:r>
              </a:p>
            </rich>
          </tx>
          <layout/>
          <overlay val="0"/>
        </title>
        <numFmt formatCode="General" sourceLinked="1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en-GB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between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en-GB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17</row>
      <rowOff>0</rowOff>
    </from>
    <ext cx="360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tabSelected="1" zoomScale="130" workbookViewId="0">
      <pane ySplit="3" topLeftCell="A4" activePane="bottomLeft" state="frozen"/>
      <selection pane="bottomLeft" activeCell="J26" sqref="J26"/>
    </sheetView>
  </sheetViews>
  <sheetFormatPr baseColWidth="8" defaultColWidth="9" defaultRowHeight="15"/>
  <cols>
    <col width="39" customWidth="1" min="1" max="1"/>
    <col width="18" customWidth="1" min="2" max="2"/>
    <col width="12" customWidth="1" min="3" max="3"/>
    <col width="3" customWidth="1" min="4" max="4"/>
    <col width="31" customWidth="1" min="5" max="5"/>
    <col width="17" customWidth="1" min="6" max="6"/>
  </cols>
  <sheetData>
    <row r="1" ht="19.5" customHeight="1">
      <c r="A1" s="1" t="inlineStr">
        <is>
          <t>YDG BANAWA — DAILY DASHBOARD</t>
        </is>
      </c>
      <c r="B1" s="21" t="n"/>
      <c r="C1" s="21" t="n"/>
      <c r="D1" s="21" t="n"/>
      <c r="E1" s="21" t="n"/>
      <c r="F1" s="21" t="n"/>
    </row>
    <row r="2" ht="28" customHeight="1">
      <c r="A2" s="2" t="inlineStr">
        <is>
          <t>Live summary: enter counts in the other tabs and these totals will update.</t>
        </is>
      </c>
      <c r="B2" s="21" t="n"/>
      <c r="C2" s="21" t="n"/>
      <c r="D2" s="21" t="n"/>
      <c r="E2" s="21" t="n"/>
      <c r="F2" s="21" t="n"/>
    </row>
    <row r="4" ht="30" customHeight="1">
      <c r="A4" s="39" t="inlineStr">
        <is>
          <t>METRIC</t>
        </is>
      </c>
      <c r="B4" s="40" t="inlineStr">
        <is>
          <t>VALUE</t>
        </is>
      </c>
      <c r="C4" s="40" t="inlineStr">
        <is>
          <t>UNIT</t>
        </is>
      </c>
      <c r="D4" s="24" t="n"/>
      <c r="E4" s="41" t="inlineStr">
        <is>
          <t>QUICK TOTALS</t>
        </is>
      </c>
      <c r="F4" s="24" t="n"/>
    </row>
    <row r="5" ht="28" customHeight="1">
      <c r="A5" s="42" t="inlineStr">
        <is>
          <t>REGULAR MATCHA ORDERS</t>
        </is>
      </c>
      <c r="B5" s="43">
        <f>SUM(Regular!N5:N11)</f>
        <v/>
      </c>
      <c r="C5" s="44" t="inlineStr">
        <is>
          <t>orders</t>
        </is>
      </c>
      <c r="D5" s="24" t="n"/>
      <c r="E5" s="56" t="inlineStr">
        <is>
          <t>Regular Matcha</t>
        </is>
      </c>
      <c r="F5" s="46">
        <f>B6</f>
        <v/>
      </c>
    </row>
    <row r="6" ht="28" customHeight="1">
      <c r="A6" s="47" t="inlineStr">
        <is>
          <t>REGULAR MATCHA GRAMS</t>
        </is>
      </c>
      <c r="B6" s="48">
        <f>SUM(Regular!P5:P11)</f>
        <v/>
      </c>
      <c r="C6" s="49" t="inlineStr">
        <is>
          <t>g</t>
        </is>
      </c>
      <c r="D6" s="24" t="n"/>
      <c r="E6" s="56" t="inlineStr">
        <is>
          <t>Large Matcha</t>
        </is>
      </c>
      <c r="F6" s="46">
        <f>B10</f>
        <v/>
      </c>
    </row>
    <row r="7" ht="28" customHeight="1">
      <c r="A7" s="42" t="inlineStr">
        <is>
          <t>REGULAR GREEN TEA ORDERS</t>
        </is>
      </c>
      <c r="B7" s="43">
        <f>SUM(Regular!N12:N14)</f>
        <v/>
      </c>
      <c r="C7" s="44" t="inlineStr">
        <is>
          <t>orders</t>
        </is>
      </c>
      <c r="D7" s="24" t="n"/>
      <c r="E7" s="56" t="inlineStr">
        <is>
          <t>Regular Green Tea Variety</t>
        </is>
      </c>
      <c r="F7" s="46">
        <f>B8</f>
        <v/>
      </c>
    </row>
    <row r="8" ht="28" customHeight="1">
      <c r="A8" s="47" t="inlineStr">
        <is>
          <t>REGULAR GREEN TEA GRAMS</t>
        </is>
      </c>
      <c r="B8" s="48">
        <f>SUM(Regular!P12:P14)</f>
        <v/>
      </c>
      <c r="C8" s="49" t="inlineStr">
        <is>
          <t>g</t>
        </is>
      </c>
      <c r="D8" s="24" t="n"/>
      <c r="E8" s="56" t="inlineStr">
        <is>
          <t>Large Green Tea Variety</t>
        </is>
      </c>
      <c r="F8" s="46">
        <f>B12</f>
        <v/>
      </c>
    </row>
    <row r="9" ht="28" customHeight="1">
      <c r="A9" s="42" t="inlineStr">
        <is>
          <t>LARGE MATCHA ORDERS</t>
        </is>
      </c>
      <c r="B9" s="43">
        <f>SUM(Large!M5:M11)</f>
        <v/>
      </c>
      <c r="C9" s="44" t="inlineStr">
        <is>
          <t>orders</t>
        </is>
      </c>
      <c r="D9" s="24" t="n"/>
      <c r="E9" s="56" t="inlineStr">
        <is>
          <t>Coffee Creation</t>
        </is>
      </c>
      <c r="F9" s="46">
        <f>B18</f>
        <v/>
      </c>
    </row>
    <row r="10" ht="25" customHeight="1">
      <c r="A10" s="47" t="inlineStr">
        <is>
          <t>LARGE MATCHA GRAMS</t>
        </is>
      </c>
      <c r="B10" s="48">
        <f>SUM(Large!O5:O11)</f>
        <v/>
      </c>
      <c r="C10" s="49" t="inlineStr">
        <is>
          <t>g</t>
        </is>
      </c>
      <c r="D10" s="24" t="n"/>
      <c r="E10" s="24" t="n"/>
      <c r="F10" s="24" t="n"/>
    </row>
    <row r="11" ht="25" customHeight="1">
      <c r="A11" s="42" t="inlineStr">
        <is>
          <t>LARGE GREEN TEA ORDERS</t>
        </is>
      </c>
      <c r="B11" s="43">
        <f>SUM(Large!M12:M14)</f>
        <v/>
      </c>
      <c r="C11" s="44" t="inlineStr">
        <is>
          <t>orders</t>
        </is>
      </c>
      <c r="D11" s="24" t="n"/>
      <c r="E11" s="50" t="inlineStr">
        <is>
          <t>Category</t>
        </is>
      </c>
      <c r="F11" s="51" t="inlineStr">
        <is>
          <t>Orders</t>
        </is>
      </c>
    </row>
    <row r="12" ht="29" customHeight="1">
      <c r="A12" s="47" t="inlineStr">
        <is>
          <t>LARGE GREEN TEA GRAMS</t>
        </is>
      </c>
      <c r="B12" s="48">
        <f>SUM(Large!O12:O14)</f>
        <v/>
      </c>
      <c r="C12" s="49" t="inlineStr">
        <is>
          <t>g</t>
        </is>
      </c>
      <c r="D12" s="24" t="n"/>
      <c r="E12" s="56" t="inlineStr">
        <is>
          <t>Regular Matcha</t>
        </is>
      </c>
      <c r="F12" s="57">
        <f>B5</f>
        <v/>
      </c>
    </row>
    <row r="13" ht="29" customHeight="1">
      <c r="A13" s="42" t="inlineStr">
        <is>
          <t>ALL MATCHA ORDERS</t>
        </is>
      </c>
      <c r="B13" s="43">
        <f>B5+B9</f>
        <v/>
      </c>
      <c r="C13" s="44" t="inlineStr">
        <is>
          <t>orders</t>
        </is>
      </c>
      <c r="D13" s="24" t="n"/>
      <c r="E13" s="58" t="inlineStr">
        <is>
          <t>Large Matcha</t>
        </is>
      </c>
      <c r="F13" s="59">
        <f>B9</f>
        <v/>
      </c>
    </row>
    <row r="14" ht="29" customHeight="1">
      <c r="A14" s="47" t="inlineStr">
        <is>
          <t>ALL MATCHA GRAMS</t>
        </is>
      </c>
      <c r="B14" s="48">
        <f>B6+B10</f>
        <v/>
      </c>
      <c r="C14" s="49" t="inlineStr">
        <is>
          <t>g</t>
        </is>
      </c>
      <c r="D14" s="24" t="n"/>
      <c r="E14" s="56" t="inlineStr">
        <is>
          <t>Regular Green Tea Variety</t>
        </is>
      </c>
      <c r="F14" s="57">
        <f>B7</f>
        <v/>
      </c>
    </row>
    <row r="15" ht="29" customHeight="1">
      <c r="A15" s="42" t="inlineStr">
        <is>
          <t>ALL GREEN TEA ORDERS</t>
        </is>
      </c>
      <c r="B15" s="43">
        <f>B7+B11</f>
        <v/>
      </c>
      <c r="C15" s="44" t="inlineStr">
        <is>
          <t>orders</t>
        </is>
      </c>
      <c r="D15" s="24" t="n"/>
      <c r="E15" s="58" t="inlineStr">
        <is>
          <t>Large Green Tea Variety</t>
        </is>
      </c>
      <c r="F15" s="59">
        <f>B11</f>
        <v/>
      </c>
    </row>
    <row r="16" ht="29" customHeight="1">
      <c r="A16" s="47" t="inlineStr">
        <is>
          <t>ALL GREEN TEA GRAMS</t>
        </is>
      </c>
      <c r="B16" s="48">
        <f>B8+B12</f>
        <v/>
      </c>
      <c r="C16" s="49" t="inlineStr">
        <is>
          <t>g</t>
        </is>
      </c>
      <c r="D16" s="24" t="n"/>
      <c r="E16" s="56" t="inlineStr">
        <is>
          <t>Coffee Creation</t>
        </is>
      </c>
      <c r="F16" s="57">
        <f>B17</f>
        <v/>
      </c>
    </row>
    <row r="17" ht="25" customHeight="1">
      <c r="A17" s="42" t="inlineStr">
        <is>
          <t>ALL COFFEE ORDERS</t>
        </is>
      </c>
      <c r="B17" s="43">
        <f>Coffee!B18</f>
        <v/>
      </c>
      <c r="C17" s="44" t="inlineStr">
        <is>
          <t>orders</t>
        </is>
      </c>
      <c r="D17" s="24" t="n"/>
      <c r="E17" s="24" t="n"/>
      <c r="F17" s="24" t="n"/>
    </row>
    <row r="18" ht="25" customHeight="1">
      <c r="A18" s="47" t="inlineStr">
        <is>
          <t>ALL COFFEE GRAMS</t>
        </is>
      </c>
      <c r="B18" s="48">
        <f>Coffee!D21</f>
        <v/>
      </c>
      <c r="C18" s="49" t="inlineStr">
        <is>
          <t>g</t>
        </is>
      </c>
      <c r="D18" s="24" t="n"/>
      <c r="E18" s="24" t="n"/>
      <c r="F18" s="24" t="n"/>
    </row>
    <row r="19" ht="25" customHeight="1">
      <c r="A19" s="42" t="inlineStr">
        <is>
          <t>USUCHA ORDERS (REGULAR)</t>
        </is>
      </c>
      <c r="B19" s="43">
        <f>SUM(Regular!M5:M14)</f>
        <v/>
      </c>
      <c r="C19" s="44" t="inlineStr">
        <is>
          <t>orders</t>
        </is>
      </c>
      <c r="D19" s="24" t="n"/>
      <c r="E19" s="24" t="n"/>
      <c r="F19" s="24" t="n"/>
    </row>
    <row r="20" ht="25" customHeight="1">
      <c r="A20" s="47" t="inlineStr">
        <is>
          <t>USUCHA POWDER GRAMS</t>
        </is>
      </c>
      <c r="B20" s="48">
        <f>B19*3</f>
        <v/>
      </c>
      <c r="C20" s="49" t="inlineStr">
        <is>
          <t>g</t>
        </is>
      </c>
      <c r="D20" s="24" t="n"/>
      <c r="E20" s="24" t="n"/>
      <c r="F20" s="24" t="n"/>
    </row>
    <row r="21" ht="25" customHeight="1">
      <c r="A21" s="42" t="inlineStr">
        <is>
          <t>PASTRY QUANTITY</t>
        </is>
      </c>
      <c r="B21" s="43">
        <f>Pastry!B7</f>
        <v/>
      </c>
      <c r="C21" s="44" t="inlineStr">
        <is>
          <t>items</t>
        </is>
      </c>
    </row>
    <row r="22">
      <c r="A22" s="24" t="n"/>
      <c r="B22" s="24" t="n"/>
      <c r="C22" s="24" t="n"/>
    </row>
    <row r="23" ht="30" customHeight="1">
      <c r="A23" s="54" t="inlineStr">
        <is>
          <t>TOTAL MATCHA GRAMS</t>
        </is>
      </c>
      <c r="B23" s="55">
        <f>B14</f>
        <v/>
      </c>
      <c r="C23" s="55" t="inlineStr">
        <is>
          <t>g</t>
        </is>
      </c>
    </row>
    <row r="24" ht="30" customHeight="1">
      <c r="A24" s="54" t="inlineStr">
        <is>
          <t>TOTAL GREEN TEA GRAMS</t>
        </is>
      </c>
      <c r="B24" s="55">
        <f>B16</f>
        <v/>
      </c>
      <c r="C24" s="55" t="inlineStr">
        <is>
          <t>g</t>
        </is>
      </c>
    </row>
    <row r="25" ht="30" customHeight="1">
      <c r="A25" s="54" t="inlineStr">
        <is>
          <t>TOTAL COFFEE GRAMS</t>
        </is>
      </c>
      <c r="B25" s="55">
        <f>B18</f>
        <v/>
      </c>
      <c r="C25" s="55" t="inlineStr">
        <is>
          <t>g</t>
        </is>
      </c>
    </row>
    <row r="26">
      <c r="A26" s="24" t="n"/>
      <c r="B26" s="24" t="n"/>
      <c r="C26" s="24" t="n"/>
    </row>
  </sheetData>
  <mergeCells count="2">
    <mergeCell ref="A2:F2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5"/>
  <sheetViews>
    <sheetView showGridLines="0" zoomScale="130" workbookViewId="0">
      <pane xSplit="1" ySplit="4" topLeftCell="B5" activePane="bottomRight" state="frozen"/>
      <selection activeCell="A1" sqref="A1"/>
      <selection pane="topRight" activeCell="A1" sqref="A1"/>
      <selection pane="bottomLeft" activeCell="A1" sqref="A1"/>
      <selection pane="bottomRight" activeCell="F22" sqref="F22"/>
    </sheetView>
  </sheetViews>
  <sheetFormatPr baseColWidth="8" defaultColWidth="9" defaultRowHeight="15"/>
  <cols>
    <col width="25" customWidth="1" min="1" max="1"/>
    <col width="8" customWidth="1" min="2" max="13"/>
    <col width="15" customWidth="1" min="14" max="14"/>
    <col width="16" customWidth="1" min="15" max="15"/>
    <col width="15" customWidth="1" min="16" max="16"/>
  </cols>
  <sheetData>
    <row r="1" ht="19.5" customHeight="1">
      <c r="A1" s="1" t="inlineStr">
        <is>
          <t>YDG BANAWA — REGULAR ORDER COUNTER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1" t="n"/>
      <c r="M1" s="21" t="n"/>
      <c r="N1" s="21" t="n"/>
      <c r="O1" s="21" t="n"/>
      <c r="P1" s="21" t="n"/>
    </row>
    <row r="2" ht="28" customHeight="1">
      <c r="A2" s="2" t="inlineStr">
        <is>
          <t>Enter order counts in yellow cells. Totals and powder grams calculate automatically.</t>
        </is>
      </c>
      <c r="B2" s="21" t="n"/>
      <c r="C2" s="21" t="n"/>
      <c r="D2" s="21" t="n"/>
      <c r="E2" s="21" t="n"/>
      <c r="F2" s="21" t="n"/>
      <c r="G2" s="21" t="n"/>
      <c r="H2" s="21" t="n"/>
      <c r="I2" s="21" t="n"/>
      <c r="J2" s="21" t="n"/>
      <c r="K2" s="21" t="n"/>
      <c r="L2" s="21" t="n"/>
      <c r="M2" s="21" t="n"/>
      <c r="N2" s="21" t="n"/>
      <c r="O2" s="21" t="n"/>
      <c r="P2" s="21" t="n"/>
    </row>
    <row r="4" ht="34" customHeight="1">
      <c r="A4" s="12" t="inlineStr">
        <is>
          <t>POWDER / BASE</t>
        </is>
      </c>
      <c r="B4" s="12" t="inlineStr">
        <is>
          <t>L</t>
        </is>
      </c>
      <c r="C4" s="12" t="inlineStr">
        <is>
          <t>C</t>
        </is>
      </c>
      <c r="D4" s="12" t="inlineStr">
        <is>
          <t>SS</t>
        </is>
      </c>
      <c r="E4" s="12" t="inlineStr">
        <is>
          <t>M</t>
        </is>
      </c>
      <c r="F4" s="12" t="inlineStr">
        <is>
          <t>B</t>
        </is>
      </c>
      <c r="G4" s="12" t="inlineStr">
        <is>
          <t>SC</t>
        </is>
      </c>
      <c r="H4" s="12" t="inlineStr">
        <is>
          <t>SM</t>
        </is>
      </c>
      <c r="I4" s="12" t="inlineStr">
        <is>
          <t>T</t>
        </is>
      </c>
      <c r="J4" s="12" t="inlineStr">
        <is>
          <t>TF</t>
        </is>
      </c>
      <c r="K4" s="12" t="inlineStr">
        <is>
          <t>CF</t>
        </is>
      </c>
      <c r="L4" s="12" t="inlineStr">
        <is>
          <t>YL</t>
        </is>
      </c>
      <c r="M4" s="12" t="inlineStr">
        <is>
          <t>U</t>
        </is>
      </c>
      <c r="N4" s="12" t="inlineStr">
        <is>
          <t>TOTAL ORDERS</t>
        </is>
      </c>
      <c r="O4" s="12" t="inlineStr">
        <is>
          <t>GRAMS PER ORDER</t>
        </is>
      </c>
      <c r="P4" s="12" t="inlineStr">
        <is>
          <t>TOTAL GRAMS</t>
        </is>
      </c>
    </row>
    <row r="5">
      <c r="A5" s="13" t="inlineStr">
        <is>
          <t>SHIZU MIDORI</t>
        </is>
      </c>
      <c r="B5" s="14" t="n">
        <v>0</v>
      </c>
      <c r="C5" s="14" t="n">
        <v>0</v>
      </c>
      <c r="D5" s="14" t="n">
        <v>0</v>
      </c>
      <c r="E5" s="14" t="n">
        <v>0</v>
      </c>
      <c r="F5" s="14" t="n">
        <v>0</v>
      </c>
      <c r="G5" s="14" t="n">
        <v>0</v>
      </c>
      <c r="H5" s="14" t="n">
        <v>0</v>
      </c>
      <c r="I5" s="14" t="n">
        <v>0</v>
      </c>
      <c r="J5" s="14" t="n">
        <v>0</v>
      </c>
      <c r="K5" s="14" t="n">
        <v>0</v>
      </c>
      <c r="L5" s="14" t="n">
        <v>0</v>
      </c>
      <c r="M5" s="14" t="n">
        <v>0</v>
      </c>
      <c r="N5" s="16">
        <f>SUM(B5:M5)</f>
        <v/>
      </c>
      <c r="O5" s="32" t="n">
        <v>4</v>
      </c>
      <c r="P5" s="33">
        <f>(SUM(B5:L5))*O5+M5*3</f>
        <v/>
      </c>
    </row>
    <row r="6">
      <c r="A6" s="13" t="inlineStr">
        <is>
          <t>YABUKITA</t>
        </is>
      </c>
      <c r="B6" s="14" t="n">
        <v>0</v>
      </c>
      <c r="C6" s="14" t="n">
        <v>0</v>
      </c>
      <c r="D6" s="14" t="n">
        <v>0</v>
      </c>
      <c r="E6" s="14" t="n">
        <v>0</v>
      </c>
      <c r="F6" s="14" t="n">
        <v>0</v>
      </c>
      <c r="G6" s="14" t="n">
        <v>0</v>
      </c>
      <c r="H6" s="14" t="n">
        <v>0</v>
      </c>
      <c r="I6" s="14" t="n">
        <v>0</v>
      </c>
      <c r="J6" s="14" t="n">
        <v>0</v>
      </c>
      <c r="K6" s="14" t="n">
        <v>0</v>
      </c>
      <c r="L6" s="14" t="n">
        <v>0</v>
      </c>
      <c r="M6" s="14" t="n">
        <v>0</v>
      </c>
      <c r="N6" s="16">
        <f>SUM(B6:M6)</f>
        <v/>
      </c>
      <c r="O6" s="32" t="n">
        <v>4</v>
      </c>
      <c r="P6" s="33">
        <f>(SUM(B6:L6))*O6+M6*3</f>
        <v/>
      </c>
    </row>
    <row r="7">
      <c r="A7" s="13" t="inlineStr">
        <is>
          <t>OKUMIDORI</t>
        </is>
      </c>
      <c r="B7" s="14" t="n">
        <v>0</v>
      </c>
      <c r="C7" s="14" t="n">
        <v>0</v>
      </c>
      <c r="D7" s="14" t="n">
        <v>0</v>
      </c>
      <c r="E7" s="14" t="n">
        <v>0</v>
      </c>
      <c r="F7" s="14" t="n">
        <v>0</v>
      </c>
      <c r="G7" s="14" t="n">
        <v>0</v>
      </c>
      <c r="H7" s="14" t="n">
        <v>0</v>
      </c>
      <c r="I7" s="14" t="n">
        <v>0</v>
      </c>
      <c r="J7" s="14" t="n">
        <v>0</v>
      </c>
      <c r="K7" s="14" t="n">
        <v>0</v>
      </c>
      <c r="L7" s="14" t="n">
        <v>0</v>
      </c>
      <c r="M7" s="14" t="n">
        <v>0</v>
      </c>
      <c r="N7" s="16">
        <f>SUM(B7:M7)</f>
        <v/>
      </c>
      <c r="O7" s="32" t="n">
        <v>4</v>
      </c>
      <c r="P7" s="33">
        <f>(SUM(B7:L7))*O7+M7*3</f>
        <v/>
      </c>
    </row>
    <row r="8">
      <c r="A8" s="13" t="inlineStr">
        <is>
          <t>SUISEN</t>
        </is>
      </c>
      <c r="B8" s="14" t="n">
        <v>0</v>
      </c>
      <c r="C8" s="14" t="n">
        <v>0</v>
      </c>
      <c r="D8" s="14" t="n">
        <v>0</v>
      </c>
      <c r="E8" s="14" t="n">
        <v>0</v>
      </c>
      <c r="F8" s="14" t="n">
        <v>0</v>
      </c>
      <c r="G8" s="14" t="n">
        <v>0</v>
      </c>
      <c r="H8" s="14" t="n">
        <v>0</v>
      </c>
      <c r="I8" s="14" t="n">
        <v>0</v>
      </c>
      <c r="J8" s="14" t="n">
        <v>0</v>
      </c>
      <c r="K8" s="14" t="n">
        <v>0</v>
      </c>
      <c r="L8" s="14" t="n">
        <v>0</v>
      </c>
      <c r="M8" s="14" t="n">
        <v>0</v>
      </c>
      <c r="N8" s="16">
        <f>SUM(B8:M8)</f>
        <v/>
      </c>
      <c r="O8" s="32" t="n">
        <v>4</v>
      </c>
      <c r="P8" s="33">
        <f>(SUM(B8:L8))*O8+M8*3</f>
        <v/>
      </c>
    </row>
    <row r="9">
      <c r="A9" s="13" t="inlineStr">
        <is>
          <t>BYAKUREN</t>
        </is>
      </c>
      <c r="B9" s="14" t="n">
        <v>0</v>
      </c>
      <c r="C9" s="14" t="n">
        <v>0</v>
      </c>
      <c r="D9" s="14" t="n">
        <v>0</v>
      </c>
      <c r="E9" s="14" t="n">
        <v>0</v>
      </c>
      <c r="F9" s="14" t="n">
        <v>0</v>
      </c>
      <c r="G9" s="14" t="n">
        <v>0</v>
      </c>
      <c r="H9" s="14" t="n">
        <v>0</v>
      </c>
      <c r="I9" s="14" t="n">
        <v>0</v>
      </c>
      <c r="J9" s="14" t="n">
        <v>0</v>
      </c>
      <c r="K9" s="14" t="n">
        <v>0</v>
      </c>
      <c r="L9" s="14" t="n">
        <v>0</v>
      </c>
      <c r="M9" s="14" t="n">
        <v>0</v>
      </c>
      <c r="N9" s="16">
        <f>SUM(B9:M9)</f>
        <v/>
      </c>
      <c r="O9" s="32" t="n">
        <v>4</v>
      </c>
      <c r="P9" s="33">
        <f>(SUM(B9:L9))*O9+M9*3</f>
        <v/>
      </c>
    </row>
    <row r="10">
      <c r="A10" s="13" t="inlineStr">
        <is>
          <t>WAKATAKE</t>
        </is>
      </c>
      <c r="B10" s="14" t="n">
        <v>0</v>
      </c>
      <c r="C10" s="14" t="n">
        <v>0</v>
      </c>
      <c r="D10" s="14" t="n">
        <v>0</v>
      </c>
      <c r="E10" s="14" t="n">
        <v>0</v>
      </c>
      <c r="F10" s="14" t="n">
        <v>0</v>
      </c>
      <c r="G10" s="14" t="n">
        <v>0</v>
      </c>
      <c r="H10" s="14" t="n">
        <v>0</v>
      </c>
      <c r="I10" s="14" t="n">
        <v>0</v>
      </c>
      <c r="J10" s="14" t="n">
        <v>0</v>
      </c>
      <c r="K10" s="14" t="n">
        <v>0</v>
      </c>
      <c r="L10" s="14" t="n">
        <v>0</v>
      </c>
      <c r="M10" s="14" t="n">
        <v>0</v>
      </c>
      <c r="N10" s="16">
        <f>SUM(B10:M10)</f>
        <v/>
      </c>
      <c r="O10" s="32" t="n">
        <v>4</v>
      </c>
      <c r="P10" s="33">
        <f>(SUM(B10:L10))*O10+M10*3</f>
        <v/>
      </c>
    </row>
    <row r="11">
      <c r="A11" s="13" t="inlineStr">
        <is>
          <t>AORASHI</t>
        </is>
      </c>
      <c r="B11" s="14" t="n">
        <v>0</v>
      </c>
      <c r="C11" s="14" t="n">
        <v>0</v>
      </c>
      <c r="D11" s="14" t="n">
        <v>0</v>
      </c>
      <c r="E11" s="14" t="n">
        <v>0</v>
      </c>
      <c r="F11" s="14" t="n">
        <v>0</v>
      </c>
      <c r="G11" s="14" t="n">
        <v>0</v>
      </c>
      <c r="H11" s="14" t="n">
        <v>0</v>
      </c>
      <c r="I11" s="14" t="n">
        <v>0</v>
      </c>
      <c r="J11" s="14" t="n">
        <v>0</v>
      </c>
      <c r="K11" s="14" t="n">
        <v>0</v>
      </c>
      <c r="L11" s="14" t="n">
        <v>0</v>
      </c>
      <c r="M11" s="14" t="n">
        <v>0</v>
      </c>
      <c r="N11" s="16">
        <f>SUM(B11:M11)</f>
        <v/>
      </c>
      <c r="O11" s="32" t="n">
        <v>4</v>
      </c>
      <c r="P11" s="33">
        <f>(SUM(B11:L11))*O11+M11*3</f>
        <v/>
      </c>
    </row>
    <row r="12">
      <c r="A12" s="13" t="inlineStr">
        <is>
          <t>HOJICHA A</t>
        </is>
      </c>
      <c r="B12" s="14" t="n">
        <v>0</v>
      </c>
      <c r="C12" s="14" t="n">
        <v>0</v>
      </c>
      <c r="D12" s="14" t="n">
        <v>0</v>
      </c>
      <c r="E12" s="14" t="n">
        <v>0</v>
      </c>
      <c r="F12" s="14" t="n">
        <v>0</v>
      </c>
      <c r="G12" s="14" t="n">
        <v>0</v>
      </c>
      <c r="H12" s="14" t="n">
        <v>0</v>
      </c>
      <c r="I12" s="14" t="n">
        <v>0</v>
      </c>
      <c r="J12" s="14" t="n">
        <v>0</v>
      </c>
      <c r="K12" s="14" t="n">
        <v>0</v>
      </c>
      <c r="L12" s="14" t="n">
        <v>0</v>
      </c>
      <c r="M12" s="14" t="n">
        <v>0</v>
      </c>
      <c r="N12" s="16">
        <f>SUM(B12:M12)</f>
        <v/>
      </c>
      <c r="O12" s="32" t="n">
        <v>5</v>
      </c>
      <c r="P12" s="33">
        <f>(SUM(B12:L12))*O12+M12*3</f>
        <v/>
      </c>
    </row>
    <row r="13">
      <c r="A13" s="13" t="inlineStr">
        <is>
          <t>HOJICHA B</t>
        </is>
      </c>
      <c r="B13" s="14" t="n">
        <v>0</v>
      </c>
      <c r="C13" s="14" t="n">
        <v>0</v>
      </c>
      <c r="D13" s="14" t="n">
        <v>0</v>
      </c>
      <c r="E13" s="14" t="n">
        <v>0</v>
      </c>
      <c r="F13" s="14" t="n">
        <v>0</v>
      </c>
      <c r="G13" s="14" t="n">
        <v>0</v>
      </c>
      <c r="H13" s="14" t="n">
        <v>0</v>
      </c>
      <c r="I13" s="14" t="n">
        <v>0</v>
      </c>
      <c r="J13" s="14" t="n">
        <v>0</v>
      </c>
      <c r="K13" s="14" t="n">
        <v>0</v>
      </c>
      <c r="L13" s="14" t="n">
        <v>0</v>
      </c>
      <c r="M13" s="14" t="n">
        <v>0</v>
      </c>
      <c r="N13" s="16">
        <f>SUM(B13:M13)</f>
        <v/>
      </c>
      <c r="O13" s="32" t="n">
        <v>5</v>
      </c>
      <c r="P13" s="33">
        <f>(SUM(B13:L13))*O13+M13*3</f>
        <v/>
      </c>
    </row>
    <row r="14">
      <c r="A14" s="13" t="inlineStr">
        <is>
          <t>GENMAICHA</t>
        </is>
      </c>
      <c r="B14" s="14" t="n">
        <v>0</v>
      </c>
      <c r="C14" s="14" t="n">
        <v>0</v>
      </c>
      <c r="D14" s="14" t="n">
        <v>0</v>
      </c>
      <c r="E14" s="14" t="n">
        <v>0</v>
      </c>
      <c r="F14" s="14" t="n">
        <v>0</v>
      </c>
      <c r="G14" s="14" t="n">
        <v>0</v>
      </c>
      <c r="H14" s="14" t="n">
        <v>0</v>
      </c>
      <c r="I14" s="14" t="n">
        <v>0</v>
      </c>
      <c r="J14" s="14" t="n">
        <v>0</v>
      </c>
      <c r="K14" s="14" t="n">
        <v>0</v>
      </c>
      <c r="L14" s="14" t="n">
        <v>0</v>
      </c>
      <c r="M14" s="14" t="n">
        <v>0</v>
      </c>
      <c r="N14" s="16">
        <f>SUM(B14:M14)</f>
        <v/>
      </c>
      <c r="O14" s="32" t="n">
        <v>6.5</v>
      </c>
      <c r="P14" s="33">
        <f>(SUM(B14:L14))*O14+M14*3</f>
        <v/>
      </c>
    </row>
    <row r="15">
      <c r="A15" s="15" t="inlineStr">
        <is>
          <t>TOTAL</t>
        </is>
      </c>
      <c r="B15" s="15">
        <f>SUM(B5:B14)</f>
        <v/>
      </c>
      <c r="C15" s="15">
        <f>SUM(C5:C14)</f>
        <v/>
      </c>
      <c r="D15" s="15">
        <f>SUM(D5:D14)</f>
        <v/>
      </c>
      <c r="E15" s="15">
        <f>SUM(E5:E14)</f>
        <v/>
      </c>
      <c r="F15" s="15">
        <f>SUM(F5:F14)</f>
        <v/>
      </c>
      <c r="G15" s="15">
        <f>SUM(G5:G14)</f>
        <v/>
      </c>
      <c r="H15" s="15">
        <f>SUM(H5:H14)</f>
        <v/>
      </c>
      <c r="I15" s="15">
        <f>SUM(I5:I14)</f>
        <v/>
      </c>
      <c r="J15" s="15">
        <f>SUM(J5:J14)</f>
        <v/>
      </c>
      <c r="K15" s="15">
        <f>SUM(K5:K14)</f>
        <v/>
      </c>
      <c r="L15" s="15">
        <f>SUM(L5:L14)</f>
        <v/>
      </c>
      <c r="M15" s="15">
        <f>SUM(M5:M14)</f>
        <v/>
      </c>
      <c r="N15" s="15">
        <f>SUM(N5:N14)</f>
        <v/>
      </c>
      <c r="O15" s="15" t="inlineStr">
        <is>
          <t>—</t>
        </is>
      </c>
      <c r="P15" s="34">
        <f>SUM(P5:P14)</f>
        <v/>
      </c>
    </row>
  </sheetData>
  <autoFilter ref="A4:P15"/>
  <mergeCells count="2">
    <mergeCell ref="A1:P1"/>
    <mergeCell ref="A2:P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"/>
  <sheetViews>
    <sheetView showGridLines="0" zoomScale="130" workbookViewId="0">
      <pane xSplit="1" ySplit="4" topLeftCell="B5" activePane="bottomRight" state="frozen"/>
      <selection activeCell="A1" sqref="A1"/>
      <selection pane="topRight" activeCell="A1" sqref="A1"/>
      <selection pane="bottomLeft" activeCell="A1" sqref="A1"/>
      <selection pane="bottomRight" activeCell="J27" sqref="I27:J27"/>
    </sheetView>
  </sheetViews>
  <sheetFormatPr baseColWidth="8" defaultColWidth="9" defaultRowHeight="15"/>
  <cols>
    <col width="25" customWidth="1" min="1" max="1"/>
    <col width="8" customWidth="1" min="2" max="12"/>
    <col width="15" customWidth="1" min="13" max="13"/>
    <col width="16" customWidth="1" min="14" max="14"/>
    <col width="15" customWidth="1" min="15" max="15"/>
  </cols>
  <sheetData>
    <row r="1" ht="19.5" customHeight="1">
      <c r="A1" s="1" t="inlineStr">
        <is>
          <t>YDG BANAWA — LARGE ORDER COUNTER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1" t="n"/>
      <c r="M1" s="21" t="n"/>
      <c r="N1" s="21" t="n"/>
      <c r="O1" s="21" t="n"/>
    </row>
    <row r="2" ht="28" customHeight="1">
      <c r="A2" s="2" t="inlineStr">
        <is>
          <t>Enter order counts in yellow cells. Totals and powder grams calculate automatically.</t>
        </is>
      </c>
      <c r="B2" s="21" t="n"/>
      <c r="C2" s="21" t="n"/>
      <c r="D2" s="21" t="n"/>
      <c r="E2" s="21" t="n"/>
      <c r="F2" s="21" t="n"/>
      <c r="G2" s="21" t="n"/>
      <c r="H2" s="21" t="n"/>
      <c r="I2" s="21" t="n"/>
      <c r="J2" s="21" t="n"/>
      <c r="K2" s="21" t="n"/>
      <c r="L2" s="21" t="n"/>
      <c r="M2" s="21" t="n"/>
      <c r="N2" s="21" t="n"/>
      <c r="O2" s="21" t="n"/>
    </row>
    <row r="4" ht="34" customHeight="1">
      <c r="A4" s="12" t="inlineStr">
        <is>
          <t>POWDER / BASE</t>
        </is>
      </c>
      <c r="B4" s="12" t="inlineStr">
        <is>
          <t>L</t>
        </is>
      </c>
      <c r="C4" s="12" t="inlineStr">
        <is>
          <t>C</t>
        </is>
      </c>
      <c r="D4" s="12" t="inlineStr">
        <is>
          <t>SS</t>
        </is>
      </c>
      <c r="E4" s="12" t="inlineStr">
        <is>
          <t>M</t>
        </is>
      </c>
      <c r="F4" s="12" t="inlineStr">
        <is>
          <t>B</t>
        </is>
      </c>
      <c r="G4" s="12" t="inlineStr">
        <is>
          <t>SC</t>
        </is>
      </c>
      <c r="H4" s="12" t="inlineStr">
        <is>
          <t>SM</t>
        </is>
      </c>
      <c r="I4" s="12" t="inlineStr">
        <is>
          <t>T</t>
        </is>
      </c>
      <c r="J4" s="12" t="inlineStr">
        <is>
          <t>TF</t>
        </is>
      </c>
      <c r="K4" s="12" t="inlineStr">
        <is>
          <t>CF</t>
        </is>
      </c>
      <c r="L4" s="12" t="inlineStr">
        <is>
          <t>YZ</t>
        </is>
      </c>
      <c r="M4" s="12" t="inlineStr">
        <is>
          <t>TOTAL ORDERS</t>
        </is>
      </c>
      <c r="N4" s="12" t="inlineStr">
        <is>
          <t>GRAMS PER ORDER</t>
        </is>
      </c>
      <c r="O4" s="12" t="inlineStr">
        <is>
          <t>TOTAL GRAMS</t>
        </is>
      </c>
    </row>
    <row r="5">
      <c r="A5" s="13" t="inlineStr">
        <is>
          <t>SHIZU MIDORI</t>
        </is>
      </c>
      <c r="B5" s="14" t="n">
        <v>0</v>
      </c>
      <c r="C5" s="14" t="n">
        <v>0</v>
      </c>
      <c r="D5" s="14" t="n">
        <v>0</v>
      </c>
      <c r="E5" s="14" t="n">
        <v>0</v>
      </c>
      <c r="F5" s="14" t="n">
        <v>0</v>
      </c>
      <c r="G5" s="14" t="n">
        <v>0</v>
      </c>
      <c r="H5" s="14" t="n">
        <v>0</v>
      </c>
      <c r="I5" s="14" t="n">
        <v>0</v>
      </c>
      <c r="J5" s="14" t="n">
        <v>0</v>
      </c>
      <c r="K5" s="14" t="n">
        <v>0</v>
      </c>
      <c r="L5" s="14" t="n">
        <v>0</v>
      </c>
      <c r="M5" s="16">
        <f>SUM(B5:L5)</f>
        <v/>
      </c>
      <c r="N5" s="32" t="n">
        <v>5.5</v>
      </c>
      <c r="O5" s="33">
        <f>M5*N5</f>
        <v/>
      </c>
    </row>
    <row r="6">
      <c r="A6" s="13" t="inlineStr">
        <is>
          <t>YABUKITA</t>
        </is>
      </c>
      <c r="B6" s="14" t="n">
        <v>0</v>
      </c>
      <c r="C6" s="14" t="n">
        <v>0</v>
      </c>
      <c r="D6" s="14" t="n">
        <v>0</v>
      </c>
      <c r="E6" s="14" t="n">
        <v>0</v>
      </c>
      <c r="F6" s="14" t="n">
        <v>0</v>
      </c>
      <c r="G6" s="14" t="n">
        <v>0</v>
      </c>
      <c r="H6" s="14" t="n">
        <v>0</v>
      </c>
      <c r="I6" s="14" t="n">
        <v>0</v>
      </c>
      <c r="J6" s="14" t="n">
        <v>0</v>
      </c>
      <c r="K6" s="14" t="n">
        <v>0</v>
      </c>
      <c r="L6" s="14" t="n">
        <v>0</v>
      </c>
      <c r="M6" s="16">
        <f>SUM(B6:L6)</f>
        <v/>
      </c>
      <c r="N6" s="32" t="n">
        <v>5.5</v>
      </c>
      <c r="O6" s="33">
        <f>M6*N6</f>
        <v/>
      </c>
    </row>
    <row r="7">
      <c r="A7" s="13" t="inlineStr">
        <is>
          <t>OKUMIDORI</t>
        </is>
      </c>
      <c r="B7" s="14" t="n">
        <v>0</v>
      </c>
      <c r="C7" s="14" t="n">
        <v>0</v>
      </c>
      <c r="D7" s="14" t="n">
        <v>0</v>
      </c>
      <c r="E7" s="14" t="n">
        <v>0</v>
      </c>
      <c r="F7" s="14" t="n">
        <v>0</v>
      </c>
      <c r="G7" s="14" t="n">
        <v>0</v>
      </c>
      <c r="H7" s="14" t="n">
        <v>0</v>
      </c>
      <c r="I7" s="14" t="n">
        <v>0</v>
      </c>
      <c r="J7" s="14" t="n">
        <v>0</v>
      </c>
      <c r="K7" s="14" t="n">
        <v>0</v>
      </c>
      <c r="L7" s="14" t="n">
        <v>0</v>
      </c>
      <c r="M7" s="16">
        <f>SUM(B7:L7)</f>
        <v/>
      </c>
      <c r="N7" s="32" t="n">
        <v>5.5</v>
      </c>
      <c r="O7" s="33">
        <f>M7*N7</f>
        <v/>
      </c>
    </row>
    <row r="8">
      <c r="A8" s="13" t="inlineStr">
        <is>
          <t>SUISEN</t>
        </is>
      </c>
      <c r="B8" s="14" t="n">
        <v>0</v>
      </c>
      <c r="C8" s="14" t="n">
        <v>0</v>
      </c>
      <c r="D8" s="14" t="n">
        <v>0</v>
      </c>
      <c r="E8" s="14" t="n">
        <v>0</v>
      </c>
      <c r="F8" s="14" t="n">
        <v>0</v>
      </c>
      <c r="G8" s="14" t="n">
        <v>0</v>
      </c>
      <c r="H8" s="14" t="n">
        <v>0</v>
      </c>
      <c r="I8" s="14" t="n">
        <v>0</v>
      </c>
      <c r="J8" s="14" t="n">
        <v>0</v>
      </c>
      <c r="K8" s="14" t="n">
        <v>0</v>
      </c>
      <c r="L8" s="14" t="n">
        <v>0</v>
      </c>
      <c r="M8" s="16">
        <f>SUM(B8:L8)</f>
        <v/>
      </c>
      <c r="N8" s="32" t="n">
        <v>5.5</v>
      </c>
      <c r="O8" s="33">
        <f>M8*N8</f>
        <v/>
      </c>
    </row>
    <row r="9">
      <c r="A9" s="13" t="inlineStr">
        <is>
          <t>BYAKUREN</t>
        </is>
      </c>
      <c r="B9" s="14" t="n">
        <v>0</v>
      </c>
      <c r="C9" s="14" t="n">
        <v>0</v>
      </c>
      <c r="D9" s="14" t="n">
        <v>0</v>
      </c>
      <c r="E9" s="14" t="n">
        <v>0</v>
      </c>
      <c r="F9" s="14" t="n">
        <v>0</v>
      </c>
      <c r="G9" s="14" t="n">
        <v>0</v>
      </c>
      <c r="H9" s="14" t="n">
        <v>0</v>
      </c>
      <c r="I9" s="14" t="n">
        <v>0</v>
      </c>
      <c r="J9" s="14" t="n">
        <v>0</v>
      </c>
      <c r="K9" s="14" t="n">
        <v>0</v>
      </c>
      <c r="L9" s="14" t="n">
        <v>0</v>
      </c>
      <c r="M9" s="16">
        <f>SUM(B9:L9)</f>
        <v/>
      </c>
      <c r="N9" s="32" t="n">
        <v>5.5</v>
      </c>
      <c r="O9" s="33">
        <f>M9*N9</f>
        <v/>
      </c>
    </row>
    <row r="10">
      <c r="A10" s="13" t="inlineStr">
        <is>
          <t>WAKATAKE</t>
        </is>
      </c>
      <c r="B10" s="14" t="n">
        <v>0</v>
      </c>
      <c r="C10" s="14" t="n">
        <v>0</v>
      </c>
      <c r="D10" s="14" t="n">
        <v>0</v>
      </c>
      <c r="E10" s="14" t="n">
        <v>0</v>
      </c>
      <c r="F10" s="14" t="n">
        <v>0</v>
      </c>
      <c r="G10" s="14" t="n">
        <v>0</v>
      </c>
      <c r="H10" s="14" t="n">
        <v>0</v>
      </c>
      <c r="I10" s="14" t="n">
        <v>0</v>
      </c>
      <c r="J10" s="14" t="n">
        <v>0</v>
      </c>
      <c r="K10" s="14" t="n">
        <v>0</v>
      </c>
      <c r="L10" s="14" t="n">
        <v>0</v>
      </c>
      <c r="M10" s="16">
        <f>SUM(B10:L10)</f>
        <v/>
      </c>
      <c r="N10" s="32" t="n">
        <v>5.5</v>
      </c>
      <c r="O10" s="33">
        <f>M10*N10</f>
        <v/>
      </c>
    </row>
    <row r="11">
      <c r="A11" s="13" t="inlineStr">
        <is>
          <t>AORASHI</t>
        </is>
      </c>
      <c r="B11" s="14" t="n">
        <v>0</v>
      </c>
      <c r="C11" s="14" t="n">
        <v>0</v>
      </c>
      <c r="D11" s="14" t="n">
        <v>0</v>
      </c>
      <c r="E11" s="14" t="n">
        <v>0</v>
      </c>
      <c r="F11" s="14" t="n">
        <v>0</v>
      </c>
      <c r="G11" s="14" t="n">
        <v>0</v>
      </c>
      <c r="H11" s="14" t="n">
        <v>0</v>
      </c>
      <c r="I11" s="14" t="n">
        <v>0</v>
      </c>
      <c r="J11" s="14" t="n">
        <v>0</v>
      </c>
      <c r="K11" s="14" t="n">
        <v>0</v>
      </c>
      <c r="L11" s="14" t="n">
        <v>0</v>
      </c>
      <c r="M11" s="16">
        <f>SUM(B11:L11)</f>
        <v/>
      </c>
      <c r="N11" s="32" t="n">
        <v>5.5</v>
      </c>
      <c r="O11" s="33">
        <f>M11*N11</f>
        <v/>
      </c>
    </row>
    <row r="12">
      <c r="A12" s="13" t="inlineStr">
        <is>
          <t>HOJICHA A</t>
        </is>
      </c>
      <c r="B12" s="14" t="n">
        <v>0</v>
      </c>
      <c r="C12" s="14" t="n">
        <v>0</v>
      </c>
      <c r="D12" s="14" t="n">
        <v>0</v>
      </c>
      <c r="E12" s="14" t="n">
        <v>0</v>
      </c>
      <c r="F12" s="14" t="n">
        <v>0</v>
      </c>
      <c r="G12" s="14" t="n">
        <v>0</v>
      </c>
      <c r="H12" s="14" t="n">
        <v>0</v>
      </c>
      <c r="I12" s="14" t="n">
        <v>0</v>
      </c>
      <c r="J12" s="14" t="n">
        <v>0</v>
      </c>
      <c r="K12" s="14" t="n">
        <v>0</v>
      </c>
      <c r="L12" s="14" t="n">
        <v>0</v>
      </c>
      <c r="M12" s="16">
        <f>SUM(B12:L12)</f>
        <v/>
      </c>
      <c r="N12" s="32" t="n">
        <v>6.5</v>
      </c>
      <c r="O12" s="33">
        <f>M12*N12</f>
        <v/>
      </c>
    </row>
    <row r="13">
      <c r="A13" s="13" t="inlineStr">
        <is>
          <t>HOJICHA B</t>
        </is>
      </c>
      <c r="B13" s="14" t="n">
        <v>0</v>
      </c>
      <c r="C13" s="14" t="n">
        <v>0</v>
      </c>
      <c r="D13" s="14" t="n">
        <v>0</v>
      </c>
      <c r="E13" s="14" t="n">
        <v>0</v>
      </c>
      <c r="F13" s="14" t="n">
        <v>0</v>
      </c>
      <c r="G13" s="14" t="n">
        <v>0</v>
      </c>
      <c r="H13" s="14" t="n">
        <v>0</v>
      </c>
      <c r="I13" s="14" t="n">
        <v>0</v>
      </c>
      <c r="J13" s="14" t="n">
        <v>0</v>
      </c>
      <c r="K13" s="14" t="n">
        <v>0</v>
      </c>
      <c r="L13" s="14" t="n">
        <v>0</v>
      </c>
      <c r="M13" s="16">
        <f>SUM(B13:L13)</f>
        <v/>
      </c>
      <c r="N13" s="32" t="n">
        <v>6.5</v>
      </c>
      <c r="O13" s="33">
        <f>M13*N13</f>
        <v/>
      </c>
    </row>
    <row r="14">
      <c r="A14" s="13" t="inlineStr">
        <is>
          <t>GENMAICHA</t>
        </is>
      </c>
      <c r="B14" s="14" t="n">
        <v>0</v>
      </c>
      <c r="C14" s="14" t="n">
        <v>0</v>
      </c>
      <c r="D14" s="14" t="n">
        <v>0</v>
      </c>
      <c r="E14" s="14" t="n">
        <v>0</v>
      </c>
      <c r="F14" s="14" t="n">
        <v>0</v>
      </c>
      <c r="G14" s="14" t="n">
        <v>0</v>
      </c>
      <c r="H14" s="14" t="n">
        <v>0</v>
      </c>
      <c r="I14" s="14" t="n">
        <v>0</v>
      </c>
      <c r="J14" s="14" t="n">
        <v>0</v>
      </c>
      <c r="K14" s="14" t="n">
        <v>0</v>
      </c>
      <c r="L14" s="14" t="n">
        <v>0</v>
      </c>
      <c r="M14" s="16">
        <f>SUM(B14:L14)</f>
        <v/>
      </c>
      <c r="N14" s="32" t="n">
        <v>8.5</v>
      </c>
      <c r="O14" s="33">
        <f>M14*N14</f>
        <v/>
      </c>
    </row>
    <row r="15">
      <c r="A15" s="15" t="inlineStr">
        <is>
          <t>TOTAL</t>
        </is>
      </c>
      <c r="B15" s="15">
        <f>SUM(B5:B14)</f>
        <v/>
      </c>
      <c r="C15" s="15">
        <f>SUM(C5:C14)</f>
        <v/>
      </c>
      <c r="D15" s="15">
        <f>SUM(D5:D14)</f>
        <v/>
      </c>
      <c r="E15" s="15">
        <f>SUM(E5:E14)</f>
        <v/>
      </c>
      <c r="F15" s="15">
        <f>SUM(F5:F14)</f>
        <v/>
      </c>
      <c r="G15" s="15">
        <f>SUM(G5:G14)</f>
        <v/>
      </c>
      <c r="H15" s="15">
        <f>SUM(H5:H14)</f>
        <v/>
      </c>
      <c r="I15" s="15">
        <f>SUM(I5:I14)</f>
        <v/>
      </c>
      <c r="J15" s="15">
        <f>SUM(J5:J14)</f>
        <v/>
      </c>
      <c r="K15" s="15">
        <f>SUM(K5:K14)</f>
        <v/>
      </c>
      <c r="L15" s="15">
        <f>SUM(L5:L14)</f>
        <v/>
      </c>
      <c r="M15" s="15">
        <f>SUM(M5:M14)</f>
        <v/>
      </c>
      <c r="N15" s="15" t="inlineStr">
        <is>
          <t>—</t>
        </is>
      </c>
      <c r="O15" s="34">
        <f>SUM(O5:O14)</f>
        <v/>
      </c>
    </row>
  </sheetData>
  <autoFilter ref="A4:O15"/>
  <mergeCells count="2">
    <mergeCell ref="A1:O1"/>
    <mergeCell ref="A2:O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zoomScale="130" workbookViewId="0">
      <pane xSplit="1" ySplit="4" topLeftCell="B5" activePane="bottomRight" state="frozen"/>
      <selection activeCell="A1" sqref="A1"/>
      <selection pane="topRight" activeCell="A1" sqref="A1"/>
      <selection pane="bottomLeft" activeCell="A1" sqref="A1"/>
      <selection pane="bottomRight" activeCell="A1" sqref="A1:D1"/>
    </sheetView>
  </sheetViews>
  <sheetFormatPr baseColWidth="8" defaultColWidth="9" defaultRowHeight="15"/>
  <cols>
    <col width="30" customWidth="1" min="1" max="1"/>
    <col width="23" customWidth="1" min="2" max="2"/>
    <col width="20" customWidth="1" min="3" max="3"/>
    <col width="18" customWidth="1" min="4" max="4"/>
  </cols>
  <sheetData>
    <row r="1" ht="19.5" customHeight="1">
      <c r="A1" s="1" t="inlineStr">
        <is>
          <t>YDG BANAWA — COFFEE ORDER COUNTER</t>
        </is>
      </c>
      <c r="B1" s="21" t="n"/>
      <c r="C1" s="21" t="n"/>
      <c r="D1" s="21" t="n"/>
    </row>
    <row r="2" ht="28" customHeight="1">
      <c r="A2" s="2" t="inlineStr">
        <is>
          <t>Enter order counts in yellow cells. Each coffee order uses 18 g of beans.</t>
        </is>
      </c>
      <c r="B2" s="21" t="n"/>
      <c r="C2" s="21" t="n"/>
      <c r="D2" s="21" t="n"/>
    </row>
    <row r="4">
      <c r="A4" s="7" t="inlineStr">
        <is>
          <t>COFFEE</t>
        </is>
      </c>
      <c r="B4" s="7" t="inlineStr">
        <is>
          <t>TOTAL NO. OF ORDERS</t>
        </is>
      </c>
      <c r="C4" s="7" t="inlineStr">
        <is>
          <t>GRAMS PER ORDER</t>
        </is>
      </c>
      <c r="D4" s="7" t="inlineStr">
        <is>
          <t>TOTAL GRAMS</t>
        </is>
      </c>
    </row>
    <row r="5">
      <c r="A5" s="5" t="inlineStr">
        <is>
          <t>ESPRESSO</t>
        </is>
      </c>
      <c r="B5" s="6" t="n">
        <v>0</v>
      </c>
      <c r="C5" s="8" t="n">
        <v>18</v>
      </c>
      <c r="D5" s="35">
        <f>B5*C5</f>
        <v/>
      </c>
    </row>
    <row r="6">
      <c r="A6" s="5" t="inlineStr">
        <is>
          <t>DOPPIO</t>
        </is>
      </c>
      <c r="B6" s="6" t="n">
        <v>0</v>
      </c>
      <c r="C6" s="8" t="n">
        <v>18</v>
      </c>
      <c r="D6" s="35">
        <f>B6*C6</f>
        <v/>
      </c>
    </row>
    <row r="7">
      <c r="A7" s="5" t="inlineStr">
        <is>
          <t>AMERICANO</t>
        </is>
      </c>
      <c r="B7" s="6" t="n">
        <v>0</v>
      </c>
      <c r="C7" s="8" t="n">
        <v>18</v>
      </c>
      <c r="D7" s="35">
        <f>B7*C7</f>
        <v/>
      </c>
    </row>
    <row r="8">
      <c r="A8" s="5" t="inlineStr">
        <is>
          <t>LONG BLACK</t>
        </is>
      </c>
      <c r="B8" s="6" t="n">
        <v>0</v>
      </c>
      <c r="C8" s="8" t="n">
        <v>18</v>
      </c>
      <c r="D8" s="35">
        <f>B8*C8</f>
        <v/>
      </c>
    </row>
    <row r="9">
      <c r="A9" s="5" t="inlineStr">
        <is>
          <t>LATTE</t>
        </is>
      </c>
      <c r="B9" s="6" t="n">
        <v>0</v>
      </c>
      <c r="C9" s="8" t="n">
        <v>18</v>
      </c>
      <c r="D9" s="35">
        <f>B9*C9</f>
        <v/>
      </c>
    </row>
    <row r="10">
      <c r="A10" s="5" t="inlineStr">
        <is>
          <t>CAPPUCCINO</t>
        </is>
      </c>
      <c r="B10" s="6" t="n">
        <v>0</v>
      </c>
      <c r="C10" s="8" t="n">
        <v>18</v>
      </c>
      <c r="D10" s="35">
        <f>B10*C10</f>
        <v/>
      </c>
    </row>
    <row r="11">
      <c r="A11" s="5" t="inlineStr">
        <is>
          <t>FLAT WHITE</t>
        </is>
      </c>
      <c r="B11" s="6" t="n">
        <v>0</v>
      </c>
      <c r="C11" s="8" t="n">
        <v>18</v>
      </c>
      <c r="D11" s="35">
        <f>B11*C11</f>
        <v/>
      </c>
    </row>
    <row r="12">
      <c r="A12" s="5" t="inlineStr">
        <is>
          <t>HONEYCOMB LATTE</t>
        </is>
      </c>
      <c r="B12" s="6" t="n">
        <v>0</v>
      </c>
      <c r="C12" s="8" t="n">
        <v>18</v>
      </c>
      <c r="D12" s="35">
        <f>B12*C12</f>
        <v/>
      </c>
    </row>
    <row r="13">
      <c r="A13" s="5" t="inlineStr">
        <is>
          <t>SEASALT CREAM</t>
        </is>
      </c>
      <c r="B13" s="6" t="n">
        <v>0</v>
      </c>
      <c r="C13" s="8" t="n">
        <v>18</v>
      </c>
      <c r="D13" s="35">
        <f>B13*C13</f>
        <v/>
      </c>
    </row>
    <row r="14">
      <c r="A14" s="5" t="inlineStr">
        <is>
          <t>BLACK SESAME CREAM</t>
        </is>
      </c>
      <c r="B14" s="6" t="n">
        <v>0</v>
      </c>
      <c r="C14" s="8" t="n">
        <v>18</v>
      </c>
      <c r="D14" s="35">
        <f>B14*C14</f>
        <v/>
      </c>
    </row>
    <row r="15">
      <c r="A15" s="5" t="inlineStr">
        <is>
          <t>TIRAMISU LATTE</t>
        </is>
      </c>
      <c r="B15" s="6" t="n">
        <v>0</v>
      </c>
      <c r="C15" s="8" t="n">
        <v>18</v>
      </c>
      <c r="D15" s="35">
        <f>B15*C15</f>
        <v/>
      </c>
    </row>
    <row r="16">
      <c r="A16" s="5" t="inlineStr">
        <is>
          <t>COCOA CREAM</t>
        </is>
      </c>
      <c r="B16" s="6" t="n">
        <v>0</v>
      </c>
      <c r="C16" s="8" t="n">
        <v>18</v>
      </c>
      <c r="D16" s="35">
        <f>B16*C16</f>
        <v/>
      </c>
    </row>
    <row r="17">
      <c r="A17" s="5" t="inlineStr">
        <is>
          <t>BARISTA'S DRINK</t>
        </is>
      </c>
      <c r="B17" s="6" t="n">
        <v>0</v>
      </c>
      <c r="C17" s="8" t="n">
        <v>18</v>
      </c>
      <c r="D17" s="35">
        <f>B17*C17</f>
        <v/>
      </c>
    </row>
    <row r="18">
      <c r="A18" s="4" t="inlineStr">
        <is>
          <t>TOTAL COFFEE ORDERS</t>
        </is>
      </c>
      <c r="B18" s="4">
        <f>SUM(B5:B17)</f>
        <v/>
      </c>
      <c r="C18" s="4" t="inlineStr">
        <is>
          <t>—</t>
        </is>
      </c>
      <c r="D18" s="4">
        <f>SUM(D5:D17)</f>
        <v/>
      </c>
    </row>
    <row r="20">
      <c r="A20" s="5" t="inlineStr">
        <is>
          <t>CALIBRATION SHOTS</t>
        </is>
      </c>
      <c r="B20" s="6" t="n">
        <v>0</v>
      </c>
      <c r="C20" s="36" t="n">
        <v>18</v>
      </c>
      <c r="D20" s="36">
        <f>B20*C20</f>
        <v/>
      </c>
    </row>
    <row r="21" ht="30" customHeight="1">
      <c r="A21" s="4" t="inlineStr">
        <is>
          <t>TOTAL BEANS INCLUDING CALIBRATION</t>
        </is>
      </c>
      <c r="B21" s="11" t="n"/>
      <c r="C21" s="11" t="n"/>
      <c r="D21" s="4">
        <f>D18+D20</f>
        <v/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zoomScale="130" workbookViewId="0">
      <selection activeCell="A1" sqref="A1:B1"/>
    </sheetView>
  </sheetViews>
  <sheetFormatPr baseColWidth="8" defaultColWidth="9" defaultRowHeight="15" outlineLevelRow="6"/>
  <cols>
    <col width="38" customWidth="1" min="1" max="1"/>
    <col width="18" customWidth="1" min="2" max="2"/>
  </cols>
  <sheetData>
    <row r="1" ht="19.5" customHeight="1">
      <c r="A1" s="1" t="inlineStr">
        <is>
          <t>YDG BANAWA — PASTRY ORDER COUNTER</t>
        </is>
      </c>
      <c r="B1" s="21" t="n"/>
    </row>
    <row r="2" ht="28" customHeight="1">
      <c r="A2" s="2" t="inlineStr">
        <is>
          <t>Enter quantities in yellow cells.</t>
        </is>
      </c>
      <c r="B2" s="21" t="n"/>
    </row>
    <row r="4">
      <c r="A4" s="4" t="inlineStr">
        <is>
          <t>PASTRY</t>
        </is>
      </c>
      <c r="B4" s="4" t="inlineStr">
        <is>
          <t>TOTAL ORDERS</t>
        </is>
      </c>
    </row>
    <row r="5">
      <c r="A5" s="5" t="inlineStr">
        <is>
          <t>CLASSIC BURNT BASQUE CHEESECAKE</t>
        </is>
      </c>
      <c r="B5" s="6" t="n">
        <v>0</v>
      </c>
    </row>
    <row r="6">
      <c r="A6" s="5" t="inlineStr">
        <is>
          <t>CHOCOLATE CHIP COOKIE</t>
        </is>
      </c>
      <c r="B6" s="6" t="n">
        <v>0</v>
      </c>
    </row>
    <row r="7">
      <c r="A7" s="4" t="inlineStr">
        <is>
          <t>TOTAL PASTRIES</t>
        </is>
      </c>
      <c r="B7" s="4">
        <f>SUM(B5:B6)</f>
        <v/>
      </c>
    </row>
  </sheetData>
  <mergeCells count="2">
    <mergeCell ref="A2:B2"/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zoomScale="130" workbookViewId="0">
      <selection activeCell="A1" sqref="A1:D1"/>
    </sheetView>
  </sheetViews>
  <sheetFormatPr baseColWidth="8" defaultColWidth="9" defaultRowHeight="15"/>
  <cols>
    <col width="44" customWidth="1" min="1" max="1"/>
    <col width="24" customWidth="1" min="2" max="4"/>
  </cols>
  <sheetData>
    <row r="1" ht="19.5" customHeight="1">
      <c r="A1" s="1" t="inlineStr">
        <is>
          <t>HOW TO USE THE YDG COUNTER</t>
        </is>
      </c>
      <c r="B1" s="21" t="n"/>
      <c r="C1" s="21" t="n"/>
      <c r="D1" s="21" t="n"/>
    </row>
    <row r="2" ht="28" customHeight="1">
      <c r="A2" s="2" t="inlineStr"/>
      <c r="B2" s="21" t="n"/>
      <c r="C2" s="21" t="n"/>
      <c r="D2" s="21" t="n"/>
    </row>
    <row r="3" ht="34" customHeight="1">
      <c r="A3" s="3" t="inlineStr">
        <is>
          <t>1. Regular, Large, Coffee, and Pastry each have a separate tab.</t>
        </is>
      </c>
      <c r="B3" s="21" t="n"/>
      <c r="C3" s="21" t="n"/>
      <c r="D3" s="21" t="n"/>
    </row>
    <row r="4" ht="34" customHeight="1">
      <c r="A4" s="3" t="inlineStr">
        <is>
          <t>2. Enter counts only in the yellow cells.</t>
        </is>
      </c>
      <c r="B4" s="21" t="n"/>
      <c r="C4" s="21" t="n"/>
      <c r="D4" s="21" t="n"/>
    </row>
    <row r="5" ht="34" customHeight="1">
      <c r="A5" s="3" t="inlineStr">
        <is>
          <t>3. Regular: U is Usucha. Do not enter Usucha as another powder row; each U count uses 3 g.</t>
        </is>
      </c>
      <c r="B5" s="21" t="n"/>
      <c r="C5" s="21" t="n"/>
      <c r="D5" s="21" t="n"/>
    </row>
    <row r="6" ht="34" customHeight="1">
      <c r="A6" s="3" t="inlineStr">
        <is>
          <t>4. Regular totals now calculate as: (all non-U orders × powder ratio) + (U orders × 3 g).</t>
        </is>
      </c>
      <c r="B6" s="21" t="n"/>
      <c r="C6" s="21" t="n"/>
      <c r="D6" s="21" t="n"/>
    </row>
    <row r="7" ht="34" customHeight="1">
      <c r="A7" s="3" t="inlineStr">
        <is>
          <t>5. Large totals calculate as total orders × the Large powder ratio.</t>
        </is>
      </c>
      <c r="B7" s="21" t="n"/>
      <c r="C7" s="21" t="n"/>
      <c r="D7" s="21" t="n"/>
    </row>
    <row r="8" ht="34" customHeight="1">
      <c r="A8" s="3" t="inlineStr">
        <is>
          <t>6. Coffee beans calculate as coffee orders × 18 g, plus calibration shots × 18 g.</t>
        </is>
      </c>
      <c r="B8" s="21" t="n"/>
      <c r="C8" s="21" t="n"/>
      <c r="D8" s="21" t="n"/>
    </row>
    <row r="9" ht="34" customHeight="1">
      <c r="A9" s="3" t="inlineStr">
        <is>
          <t>7. The Dashboard links to the total rows on each sheet. The total row does not sum the grams-per-order column, so it won't show a misleading ratio sum.</t>
        </is>
      </c>
      <c r="B9" s="21" t="n"/>
      <c r="C9" s="21" t="n"/>
      <c r="D9" s="21" t="n"/>
    </row>
    <row r="10" ht="34" customHeight="1">
      <c r="A10" s="3" t="inlineStr">
        <is>
          <t>8. Total tea grams are powder grams only, matching the uploaded YDG sample. Add-on topping grams are not included in powder totals.</t>
        </is>
      </c>
      <c r="B10" s="21" t="n"/>
      <c r="C10" s="21" t="n"/>
      <c r="D10" s="21" t="n"/>
    </row>
  </sheetData>
  <mergeCells count="10">
    <mergeCell ref="A1:D1"/>
    <mergeCell ref="A5:D5"/>
    <mergeCell ref="A9:D9"/>
    <mergeCell ref="A8:D8"/>
    <mergeCell ref="A6:D6"/>
    <mergeCell ref="A4:D4"/>
    <mergeCell ref="A3:D3"/>
    <mergeCell ref="A7:D7"/>
    <mergeCell ref="A2:D2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2026-10-11T16:32:00Z</dcterms:created>
  <dcterms:modified xmlns:dcterms="http://purl.org/dc/terms/" xmlns:xsi="http://www.w3.org/2001/XMLSchema-instance" xsi:type="dcterms:W3CDTF">2026-10-12T15:32:38Z</dcterms:modified>
  <cp:lastModifiedBy>Totorabby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8D0491AFB9A941B99EA4CEAA96038AE0_12</vt:lpwstr>
  </property>
  <property name="KSOProductBuildVer" fmtid="{D5CDD505-2E9C-101B-9397-08002B2CF9AE}" pid="3">
    <vt:lpwstr xmlns:vt="http://schemas.openxmlformats.org/officeDocument/2006/docPropsVTypes">2057-12.2.0.23206</vt:lpwstr>
  </property>
</Properties>
</file>